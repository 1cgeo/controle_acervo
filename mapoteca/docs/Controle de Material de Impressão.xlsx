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eçotes, Papel e Cartuchos" sheetId="1" r:id="rId5"/>
    <sheet state="visible" name="Cabeçotes, Papel e Cartuchos - 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tc={04aa524e-dd5a-4ad0-a828-df531102c469}</author>
    <author>tc={1928c49b-288e-4538-bc1f-3cf4ed5350db}</author>
    <author>tc={1ebad8ea-56f4-448f-8205-818b688c3b71}</author>
    <author>tc={2baccb85-6ba9-4bec-99d8-71be48239af7}</author>
    <author>tc={34de180b-0341-43ff-b456-08117e082060}</author>
    <author>tc={4549d45f-e65d-495e-94b4-9579e890c984}</author>
    <author>tc={9af80356-4080-4b5b-ad79-c2feef7e7a19}</author>
    <author>tc={b1219e54-8ca2-4fb6-bb43-7c8a7154d774}</author>
    <author>tc={b2bc748f-a332-4466-a517-bcc3b9cffd2e}</author>
    <author>tc={ce075eb7-96ee-4ca7-a90b-ef6b18c20d92}</author>
    <author>tc={da269927-6d6a-4062-9af5-becfeda44386}</author>
    <author>tc={db529688-85c0-429d-8b00-654d6ecddb7b}</author>
    <author>tc={ee78b6c5-6e4a-4fe3-a185-d740d18ba29d}</author>
    <author>tc={f6bcec6b-4995-4149-8f4e-cf7380f83dd8}</author>
  </authors>
  <commentList>
    <comment authorId="0" xr:uid="{04aa524e-dd5a-4ad0-a828-df531102c4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chegou, confirmar com o Almox
</t>
      </text>
    </comment>
    <comment authorId="1" xr:uid="{1928c49b-288e-4538-bc1f-3cf4ed5350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chegou, confirmar com o Almox
</t>
      </text>
    </comment>
    <comment authorId="2" xr:uid="{1ebad8ea-56f4-448f-8205-818b688c3b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chegou, confirmar com o Almox
</t>
      </text>
    </comment>
    <comment authorId="3" xr:uid="{2baccb85-6ba9-4bec-99d8-71be48239a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chegou, confirmar com o Almox
</t>
      </text>
    </comment>
    <comment authorId="4" xr:uid="{34de180b-0341-43ff-b456-08117e0820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chegou, confirmar com o Almox
</t>
      </text>
    </comment>
    <comment authorId="5" xr:uid="{4549d45f-e65d-495e-94b4-9579e890c9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chegou, confirmar com o Almox
</t>
      </text>
    </comment>
    <comment authorId="6" xr:uid="{9af80356-4080-4b5b-ad79-c2feef7e7a1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chegou, confirmar com o Almox
</t>
      </text>
    </comment>
    <comment authorId="7" xr:uid="{b1219e54-8ca2-4fb6-bb43-7c8a7154d7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chegou a 56 e 119, confirmar com o Almox
só falta o 125
</t>
      </text>
    </comment>
    <comment authorId="8" xr:uid="{b2bc748f-a332-4466-a517-bcc3b9cffd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quanto ainda falta chegar.
</t>
      </text>
    </comment>
    <comment authorId="9" xr:uid="{ce075eb7-96ee-4ca7-a90b-ef6b18c20d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Só fazer nova Rema q=sobre necessidade, não deslacrar as tintas 72, zerar essa coluna
</t>
      </text>
    </comment>
    <comment authorId="10" xr:uid="{da269927-6d6a-4062-9af5-becfeda443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até completar 9 novos aqui na DGEO, qd chegar a 3 ou houve pedido de tinta recompletar
Reply:
	Marcada como resolvida
Reply:
	Feito.
Reaberta
</t>
      </text>
    </comment>
    <comment authorId="11" xr:uid="{db529688-85c0-429d-8b00-654d6ecddb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de modo que complete 5 de cada cor aqui na DGEO,
qd chegar a 2 de uma mesma tinta fazer novo pedido no almox para recompletar 5 de cada.
</t>
      </text>
    </comment>
    <comment authorId="12" xr:uid="{ee78b6c5-6e4a-4fe3-a185-d740d18ba2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tá 19 da DGEO + 7 do ALMOX, já fazer o pedido
Reply:
	Feito.
</t>
      </text>
    </comment>
    <comment authorId="13" xr:uid="{f6bcec6b-4995-4149-8f4e-cf7380f83d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se os 8 que chegaram são dessa NE.
Reply:
	Já chegou o 119, verificar com o Almox
</t>
      </text>
    </comment>
  </commentList>
</comments>
</file>

<file path=xl/sharedStrings.xml><?xml version="1.0" encoding="utf-8"?>
<sst xmlns="http://schemas.openxmlformats.org/spreadsheetml/2006/main" count="376" uniqueCount="87">
  <si>
    <t>DGEO</t>
  </si>
  <si>
    <t>Data Atualização</t>
  </si>
  <si>
    <t>Plotter</t>
  </si>
  <si>
    <t>Código</t>
  </si>
  <si>
    <t>Nr Ficha</t>
  </si>
  <si>
    <t>730
Original</t>
  </si>
  <si>
    <t>72
Rema</t>
  </si>
  <si>
    <t>72
Original</t>
  </si>
  <si>
    <t>Somatório
DGEO</t>
  </si>
  <si>
    <t>CY - 130</t>
  </si>
  <si>
    <t>P2V62A</t>
  </si>
  <si>
    <t>C2816</t>
  </si>
  <si>
    <t>MG - 130</t>
  </si>
  <si>
    <t>P2V63A</t>
  </si>
  <si>
    <t>C2817</t>
  </si>
  <si>
    <t>Y - 130</t>
  </si>
  <si>
    <t>P2V64A</t>
  </si>
  <si>
    <t>C2818</t>
  </si>
  <si>
    <t>MK - 130</t>
  </si>
  <si>
    <t>MK - 300</t>
  </si>
  <si>
    <t>P2V65A</t>
  </si>
  <si>
    <t>C2819</t>
  </si>
  <si>
    <t>GR - 130</t>
  </si>
  <si>
    <t>P2V66A</t>
  </si>
  <si>
    <t>C2820</t>
  </si>
  <si>
    <t>GR - 300</t>
  </si>
  <si>
    <t>PK - 130</t>
  </si>
  <si>
    <t>P2V67A</t>
  </si>
  <si>
    <t>C2821</t>
  </si>
  <si>
    <t>HP M470</t>
  </si>
  <si>
    <t>ALMOX</t>
  </si>
  <si>
    <t>P/ CHEGAR</t>
  </si>
  <si>
    <t>NE</t>
  </si>
  <si>
    <t>BLACK</t>
  </si>
  <si>
    <t>W2020XC</t>
  </si>
  <si>
    <t>C3106</t>
  </si>
  <si>
    <t>CIANO</t>
  </si>
  <si>
    <t>W2021XC</t>
  </si>
  <si>
    <t>C3109</t>
  </si>
  <si>
    <t>MAGENTA</t>
  </si>
  <si>
    <t>W2023XC</t>
  </si>
  <si>
    <t>C3108</t>
  </si>
  <si>
    <t>YELLOW</t>
  </si>
  <si>
    <t>W2022XC</t>
  </si>
  <si>
    <t>C3107</t>
  </si>
  <si>
    <t>Papel</t>
  </si>
  <si>
    <t>ALMOX**</t>
  </si>
  <si>
    <t>P/CHEGAR</t>
  </si>
  <si>
    <t>SULF</t>
  </si>
  <si>
    <t>#</t>
  </si>
  <si>
    <t>C0170</t>
  </si>
  <si>
    <t>SULF 120g</t>
  </si>
  <si>
    <t>C3675</t>
  </si>
  <si>
    <t>GLO</t>
  </si>
  <si>
    <t>C1032</t>
  </si>
  <si>
    <t>BAN</t>
  </si>
  <si>
    <t>C0693</t>
  </si>
  <si>
    <t>TUBO</t>
  </si>
  <si>
    <t>C1566</t>
  </si>
  <si>
    <t>Cabeçotes</t>
  </si>
  <si>
    <t>Universal (Novo)</t>
  </si>
  <si>
    <t>P2V27A</t>
  </si>
  <si>
    <t>C2982</t>
  </si>
  <si>
    <t>MK/Y</t>
  </si>
  <si>
    <t>Usado</t>
  </si>
  <si>
    <t>-</t>
  </si>
  <si>
    <t>CY/MG</t>
  </si>
  <si>
    <t>G/PK</t>
  </si>
  <si>
    <t>Data Limite</t>
  </si>
  <si>
    <t>DGEO+
Almox</t>
  </si>
  <si>
    <t>DGEO+
Almox+Emp</t>
  </si>
  <si>
    <t>CY</t>
  </si>
  <si>
    <t>MG</t>
  </si>
  <si>
    <t>Y</t>
  </si>
  <si>
    <t>MK</t>
  </si>
  <si>
    <t>GR</t>
  </si>
  <si>
    <t>4 de 300 ml, 9 em proporção</t>
  </si>
  <si>
    <t>PK</t>
  </si>
  <si>
    <t>Atualizar</t>
  </si>
  <si>
    <t>Consumo</t>
  </si>
  <si>
    <t>Necessário</t>
  </si>
  <si>
    <t>Pendente</t>
  </si>
  <si>
    <t>Obs</t>
  </si>
  <si>
    <t>Ajustado**</t>
  </si>
  <si>
    <t>Necessário em 2026</t>
  </si>
  <si>
    <t>Ajustado</t>
  </si>
  <si>
    <t>Quantidade em 130ml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</si>
</sst>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12.0"/>
      <color rgb="FF00000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2" fillId="0" fontId="1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3" fillId="0" fontId="3" numFmtId="0" xfId="0" applyBorder="1" applyFont="1"/>
    <xf borderId="0" fillId="0" fontId="2" numFmtId="0" xfId="0" applyAlignment="1" applyFont="1">
      <alignment readingOrder="0" vertical="center"/>
    </xf>
    <xf borderId="4" fillId="0" fontId="3" numFmtId="0" xfId="0" applyBorder="1" applyFont="1"/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readingOrder="0" vertical="center"/>
    </xf>
    <xf borderId="1" fillId="6" fontId="2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0" fillId="0" fontId="2" numFmtId="164" xfId="0" applyAlignment="1" applyFont="1" applyNumberFormat="1">
      <alignment readingOrder="0"/>
    </xf>
    <xf borderId="1" fillId="6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ogo Oliveira" id="{3572a335-49bc-4abc-b35e-92bb0ca9519f}" providerId="google-sheets"/>
  <x18tc:person displayName="Marcel Fernandes" id="{75a84408-ddf6-4e03-9c58-4e121a2afa7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4-27T18:21:00.00" personId="{3572a335-49bc-4abc-b35e-92bb0ca9519f}" id="{db529688-85c0-429d-8b00-654d6ecddb7b}" done="1">
    <x18tc:text xml:space="preserve">Pedir de modo que complete 5 de cada cor aqui na DGEO,
qd chegar a 2 de uma mesma tinta fazer novo pedido no almox para recompletar 5 de cada.</x18tc:text>
  </x18tc:threadedComment>
  <x18tc:threadedComment ref="A1" dT="2023-06-04T15:10:32.00" personId="{3572a335-49bc-4abc-b35e-92bb0ca9519f}" id="{34de180b-0341-43ff-b456-08117e082060}" done="1">
    <x18tc:text xml:space="preserve">já chegou, confirmar com o Almox</x18tc:text>
  </x18tc:threadedComment>
  <x18tc:threadedComment ref="A1" dT="2023-04-27T18:21:50.00" personId="{3572a335-49bc-4abc-b35e-92bb0ca9519f}" id="{ce075eb7-96ee-4ca7-a90b-ef6b18c20d92}" done="1">
    <x18tc:text xml:space="preserve">Só fazer nova Rema q=sobre necessidade, não deslacrar as tintas 72, zerar essa coluna</x18tc:text>
  </x18tc:threadedComment>
  <x18tc:threadedComment ref="A1" dT="2023-06-04T15:10:46.00" personId="{3572a335-49bc-4abc-b35e-92bb0ca9519f}" id="{1928c49b-288e-4538-bc1f-3cf4ed5350db}" done="1">
    <x18tc:text xml:space="preserve">já chegou, confirmar com o Almox</x18tc:text>
  </x18tc:threadedComment>
  <x18tc:threadedComment ref="A1" dT="2023-05-03T18:17:24.00" personId="{75a84408-ddf6-4e03-9c58-4e121a2afa79}" id="{f6bcec6b-4995-4149-8f4e-cf7380f83dd8}" done="1">
    <x18tc:text xml:space="preserve">Verificar se os 8 que chegaram são dessa NE.</x18tc:text>
  </x18tc:threadedComment>
  <x18tc:threadedComment ref="A1" dT="2023-06-04T15:12:21.00" personId="{3572a335-49bc-4abc-b35e-92bb0ca9519f}" id="{7dceb557-7d08-4961-8cb5-773d5e4615be}" parentId="{f6bcec6b-4995-4149-8f4e-cf7380f83dd8}">
    <x18tc:text xml:space="preserve">Já chegou o 119, verificar com o Almox</x18tc:text>
  </x18tc:threadedComment>
  <x18tc:threadedComment ref="A1" dT="2023-06-04T15:11:02.00" personId="{3572a335-49bc-4abc-b35e-92bb0ca9519f}" id="{2baccb85-6ba9-4bec-99d8-71be48239af7}" done="1">
    <x18tc:text xml:space="preserve">já chegou, confirmar com o Almox</x18tc:text>
  </x18tc:threadedComment>
  <x18tc:threadedComment ref="A1" dT="2023-05-03T18:17:00.00" personId="{75a84408-ddf6-4e03-9c58-4e121a2afa79}" id="{b2bc748f-a332-4466-a517-bcc3b9cffd2e}" done="1">
    <x18tc:text xml:space="preserve">Verificar quanto ainda falta chegar.</x18tc:text>
  </x18tc:threadedComment>
  <x18tc:threadedComment ref="A1" dT="2023-06-04T15:11:48.00" personId="{3572a335-49bc-4abc-b35e-92bb0ca9519f}" id="{b1219e54-8ca2-4fb6-bb43-7c8a7154d774}" done="1">
    <x18tc:text xml:space="preserve">já chegou a 56 e 119, confirmar com o Almox
só falta o 125</x18tc:text>
  </x18tc:threadedComment>
  <x18tc:threadedComment ref="A1" dT="2023-06-04T15:10:03.00" personId="{3572a335-49bc-4abc-b35e-92bb0ca9519f}" id="{04aa524e-dd5a-4ad0-a828-df531102c469}" done="1">
    <x18tc:text xml:space="preserve">já chegou, confirmar com o Almox</x18tc:text>
  </x18tc:threadedComment>
  <x18tc:threadedComment ref="A1" dT="2023-06-04T15:10:08.00" personId="{3572a335-49bc-4abc-b35e-92bb0ca9519f}" id="{1ebad8ea-56f4-448f-8205-818b688c3b71}" done="1">
    <x18tc:text xml:space="preserve">já chegou, confirmar com o Almox</x18tc:text>
  </x18tc:threadedComment>
  <x18tc:threadedComment ref="A1" dT="2023-04-27T18:22:19.00" personId="{3572a335-49bc-4abc-b35e-92bb0ca9519f}" id="{ee78b6c5-6e4a-4fe3-a185-d740d18ba29d}" done="1">
    <x18tc:text xml:space="preserve">aqui tá 19 da DGEO + 7 do ALMOX, já fazer o pedido</x18tc:text>
  </x18tc:threadedComment>
  <x18tc:threadedComment ref="A1" dT="2023-04-27T20:17:20.00" personId="{75a84408-ddf6-4e03-9c58-4e121a2afa79}" id="{dd0338ac-f817-4a9f-8f99-fc25534120cf}" parentId="{ee78b6c5-6e4a-4fe3-a185-d740d18ba29d}">
    <x18tc:text xml:space="preserve">Feito.</x18tc:text>
  </x18tc:threadedComment>
  <x18tc:threadedComment ref="A1" dT="2023-06-04T15:10:26.00" personId="{3572a335-49bc-4abc-b35e-92bb0ca9519f}" id="{4549d45f-e65d-495e-94b4-9579e890c984}" done="1">
    <x18tc:text xml:space="preserve">já chegou, confirmar com o Almox</x18tc:text>
  </x18tc:threadedComment>
  <x18tc:threadedComment ref="A1" dT="2023-06-04T15:09:42.00" personId="{3572a335-49bc-4abc-b35e-92bb0ca9519f}" id="{9af80356-4080-4b5b-ad79-c2feef7e7a19}" done="1">
    <x18tc:text xml:space="preserve">já chegou, confirmar com o Almox</x18tc:text>
  </x18tc:threadedComment>
  <x18tc:threadedComment ref="A1" dT="2023-04-27T18:26:33.00" personId="{3572a335-49bc-4abc-b35e-92bb0ca9519f}" id="{da269927-6d6a-4062-9af5-becfeda44386}" done="1">
    <x18tc:text xml:space="preserve">Pedir até completar 9 novos aqui na DGEO, qd chegar a 3 ou houve pedido de tinta recompletar</x18tc:text>
  </x18tc:threadedComment>
  <x18tc:threadedComment ref="A1" dT="2023-04-27T20:16:51.00" personId="{75a84408-ddf6-4e03-9c58-4e121a2afa79}" id="{6dd96ddf-e9ba-44f9-8522-bfaff3025bdb}" parentId="{da269927-6d6a-4062-9af5-becfeda44386}">
    <x18tc:text xml:space="preserve">Marcada como resolvida</x18tc:text>
  </x18tc:threadedComment>
  <x18tc:threadedComment ref="A1" dT="2023-04-27T20:24:27.00" personId="{75a84408-ddf6-4e03-9c58-4e121a2afa79}" id="{b1416b13-896b-4954-9d73-f93bf34df33e}" parentId="{da269927-6d6a-4062-9af5-becfeda44386}">
    <x18tc:text xml:space="preserve">Feito.
Reaberta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8.88"/>
    <col customWidth="1" min="3" max="3" width="14.38"/>
    <col customWidth="1" min="4" max="4" width="15.0"/>
    <col customWidth="1" min="5" max="5" width="14.88"/>
    <col customWidth="1" min="10" max="10" width="22.25"/>
  </cols>
  <sheetData>
    <row r="1">
      <c r="C1" s="1"/>
      <c r="D1" s="2"/>
      <c r="E1" s="3"/>
      <c r="F1" s="4"/>
      <c r="G1" s="4"/>
      <c r="H1" s="2"/>
      <c r="I1" s="4"/>
    </row>
    <row r="2">
      <c r="A2" s="5"/>
      <c r="B2" s="5"/>
      <c r="C2" s="4" t="s">
        <v>0</v>
      </c>
    </row>
    <row r="3">
      <c r="A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9"/>
    </row>
    <row r="4">
      <c r="A4" s="10">
        <v>46076.0</v>
      </c>
      <c r="C4" s="11" t="s">
        <v>9</v>
      </c>
      <c r="D4" s="11" t="s">
        <v>10</v>
      </c>
      <c r="E4" s="6" t="s">
        <v>11</v>
      </c>
      <c r="F4" s="12">
        <v>6.0</v>
      </c>
      <c r="G4" s="6">
        <v>7.0</v>
      </c>
      <c r="H4" s="6">
        <v>22.0</v>
      </c>
      <c r="I4" s="13">
        <f t="shared" ref="I4:I6" si="1">H4+G4+F4</f>
        <v>35</v>
      </c>
      <c r="J4" s="9"/>
    </row>
    <row r="5">
      <c r="A5" s="14"/>
      <c r="C5" s="11" t="s">
        <v>12</v>
      </c>
      <c r="D5" s="11" t="s">
        <v>13</v>
      </c>
      <c r="E5" s="6" t="s">
        <v>14</v>
      </c>
      <c r="F5" s="12">
        <v>15.0</v>
      </c>
      <c r="G5" s="6">
        <v>6.0</v>
      </c>
      <c r="H5" s="6">
        <v>26.0</v>
      </c>
      <c r="I5" s="13">
        <f t="shared" si="1"/>
        <v>47</v>
      </c>
      <c r="J5" s="9"/>
    </row>
    <row r="6">
      <c r="A6" s="14"/>
      <c r="C6" s="11" t="s">
        <v>15</v>
      </c>
      <c r="D6" s="11" t="s">
        <v>16</v>
      </c>
      <c r="E6" s="6" t="s">
        <v>17</v>
      </c>
      <c r="F6" s="12">
        <v>10.0</v>
      </c>
      <c r="G6" s="6">
        <v>1.0</v>
      </c>
      <c r="H6" s="6">
        <v>2.0</v>
      </c>
      <c r="I6" s="13">
        <f t="shared" si="1"/>
        <v>13</v>
      </c>
      <c r="J6" s="9"/>
    </row>
    <row r="7">
      <c r="A7" s="14"/>
      <c r="C7" s="11" t="s">
        <v>18</v>
      </c>
      <c r="D7" s="11" t="s">
        <v>16</v>
      </c>
      <c r="E7" s="6" t="s">
        <v>17</v>
      </c>
      <c r="F7" s="12">
        <v>6.0</v>
      </c>
      <c r="G7" s="6">
        <v>4.0</v>
      </c>
      <c r="H7" s="6">
        <v>4.0</v>
      </c>
      <c r="I7" s="13"/>
      <c r="J7" s="9"/>
    </row>
    <row r="8">
      <c r="A8" s="14"/>
      <c r="C8" s="11" t="s">
        <v>19</v>
      </c>
      <c r="D8" s="11" t="s">
        <v>20</v>
      </c>
      <c r="E8" s="6" t="s">
        <v>21</v>
      </c>
      <c r="F8" s="12">
        <v>2.0</v>
      </c>
      <c r="G8" s="6"/>
      <c r="H8" s="6"/>
      <c r="I8" s="13">
        <f t="shared" ref="I8:I9" si="2">H8+G8+F8</f>
        <v>2</v>
      </c>
      <c r="J8" s="15"/>
    </row>
    <row r="9">
      <c r="A9" s="14"/>
      <c r="C9" s="11" t="s">
        <v>22</v>
      </c>
      <c r="D9" s="11" t="s">
        <v>23</v>
      </c>
      <c r="E9" s="6" t="s">
        <v>24</v>
      </c>
      <c r="F9" s="12">
        <v>6.0</v>
      </c>
      <c r="G9" s="6">
        <v>4.0</v>
      </c>
      <c r="H9" s="6"/>
      <c r="I9" s="13">
        <f t="shared" si="2"/>
        <v>10</v>
      </c>
      <c r="J9" s="15"/>
    </row>
    <row r="10">
      <c r="A10" s="14"/>
      <c r="C10" s="11" t="s">
        <v>25</v>
      </c>
      <c r="D10" s="11" t="s">
        <v>23</v>
      </c>
      <c r="E10" s="6" t="s">
        <v>24</v>
      </c>
      <c r="F10" s="12">
        <v>5.0</v>
      </c>
      <c r="G10" s="6"/>
      <c r="H10" s="6"/>
      <c r="I10" s="13"/>
      <c r="J10" s="9"/>
    </row>
    <row r="11">
      <c r="A11" s="16"/>
      <c r="C11" s="11" t="s">
        <v>26</v>
      </c>
      <c r="D11" s="11" t="s">
        <v>27</v>
      </c>
      <c r="E11" s="6" t="s">
        <v>28</v>
      </c>
      <c r="F11" s="12">
        <v>4.0</v>
      </c>
      <c r="G11" s="6">
        <v>11.0</v>
      </c>
      <c r="H11" s="6">
        <v>18.0</v>
      </c>
      <c r="I11" s="13">
        <f>H11+G11+F11</f>
        <v>33</v>
      </c>
      <c r="J11" s="9"/>
    </row>
    <row r="12">
      <c r="B12" s="15"/>
      <c r="C12" s="9"/>
      <c r="D12" s="9"/>
      <c r="E12" s="9"/>
      <c r="F12" s="17"/>
      <c r="G12" s="17"/>
      <c r="H12" s="17"/>
      <c r="I12" s="17"/>
      <c r="J12" s="9"/>
    </row>
    <row r="13">
      <c r="A13" s="10">
        <v>45945.0</v>
      </c>
      <c r="B13" s="15"/>
      <c r="C13" s="7" t="s">
        <v>29</v>
      </c>
      <c r="D13" s="7" t="s">
        <v>3</v>
      </c>
      <c r="E13" s="8" t="s">
        <v>4</v>
      </c>
      <c r="F13" s="6" t="s">
        <v>0</v>
      </c>
      <c r="G13" s="6" t="s">
        <v>30</v>
      </c>
      <c r="H13" s="6" t="s">
        <v>31</v>
      </c>
      <c r="I13" s="6" t="s">
        <v>32</v>
      </c>
      <c r="J13" s="9"/>
    </row>
    <row r="14">
      <c r="A14" s="14"/>
      <c r="B14" s="15"/>
      <c r="C14" s="11" t="s">
        <v>33</v>
      </c>
      <c r="D14" s="11" t="s">
        <v>34</v>
      </c>
      <c r="E14" s="6" t="s">
        <v>35</v>
      </c>
      <c r="F14" s="6">
        <v>6.0</v>
      </c>
      <c r="G14" s="12">
        <v>0.0</v>
      </c>
      <c r="H14" s="6">
        <v>0.0</v>
      </c>
      <c r="I14" s="18">
        <f t="shared" ref="I14:I17" si="3">SUM(F14:H14)</f>
        <v>6</v>
      </c>
      <c r="J14" s="9"/>
    </row>
    <row r="15">
      <c r="A15" s="14"/>
      <c r="B15" s="15"/>
      <c r="C15" s="11" t="s">
        <v>36</v>
      </c>
      <c r="D15" s="11" t="s">
        <v>37</v>
      </c>
      <c r="E15" s="6" t="s">
        <v>38</v>
      </c>
      <c r="F15" s="4">
        <v>3.0</v>
      </c>
      <c r="G15" s="12">
        <v>0.0</v>
      </c>
      <c r="H15" s="6">
        <v>0.0</v>
      </c>
      <c r="I15" s="18">
        <f t="shared" si="3"/>
        <v>3</v>
      </c>
      <c r="J15" s="9"/>
    </row>
    <row r="16">
      <c r="A16" s="14"/>
      <c r="B16" s="15"/>
      <c r="C16" s="11" t="s">
        <v>39</v>
      </c>
      <c r="D16" s="11" t="s">
        <v>40</v>
      </c>
      <c r="E16" s="6" t="s">
        <v>41</v>
      </c>
      <c r="F16" s="6">
        <v>5.0</v>
      </c>
      <c r="G16" s="12">
        <v>0.0</v>
      </c>
      <c r="H16" s="6">
        <v>0.0</v>
      </c>
      <c r="I16" s="18">
        <f t="shared" si="3"/>
        <v>5</v>
      </c>
      <c r="J16" s="9"/>
    </row>
    <row r="17">
      <c r="A17" s="16"/>
      <c r="B17" s="15"/>
      <c r="C17" s="11" t="s">
        <v>42</v>
      </c>
      <c r="D17" s="11" t="s">
        <v>43</v>
      </c>
      <c r="E17" s="6" t="s">
        <v>44</v>
      </c>
      <c r="F17" s="6">
        <v>2.0</v>
      </c>
      <c r="G17" s="12">
        <v>0.0</v>
      </c>
      <c r="H17" s="6">
        <v>0.0</v>
      </c>
      <c r="I17" s="18">
        <f t="shared" si="3"/>
        <v>2</v>
      </c>
      <c r="J17" s="9"/>
    </row>
    <row r="18">
      <c r="A18" s="19"/>
      <c r="B18" s="15"/>
      <c r="C18" s="9"/>
      <c r="D18" s="9"/>
      <c r="E18" s="9"/>
      <c r="F18" s="17"/>
      <c r="G18" s="19"/>
      <c r="H18" s="17"/>
      <c r="I18" s="17"/>
      <c r="J18" s="9"/>
    </row>
    <row r="19">
      <c r="A19" s="10">
        <v>46002.0</v>
      </c>
      <c r="B19" s="15"/>
      <c r="C19" s="7" t="s">
        <v>45</v>
      </c>
      <c r="D19" s="7" t="s">
        <v>3</v>
      </c>
      <c r="E19" s="8" t="s">
        <v>4</v>
      </c>
      <c r="F19" s="6" t="s">
        <v>0</v>
      </c>
      <c r="G19" s="6" t="s">
        <v>46</v>
      </c>
      <c r="H19" s="6" t="s">
        <v>47</v>
      </c>
      <c r="I19" s="6" t="s">
        <v>32</v>
      </c>
      <c r="J19" s="9"/>
    </row>
    <row r="20">
      <c r="A20" s="14"/>
      <c r="B20" s="15"/>
      <c r="C20" s="11" t="s">
        <v>48</v>
      </c>
      <c r="D20" s="11" t="s">
        <v>49</v>
      </c>
      <c r="E20" s="6" t="s">
        <v>50</v>
      </c>
      <c r="F20" s="6">
        <v>3.0</v>
      </c>
      <c r="G20" s="20">
        <v>143.0</v>
      </c>
      <c r="H20" s="6">
        <v>0.0</v>
      </c>
      <c r="I20" s="6">
        <f t="shared" ref="I20:I24" si="4">SUM(F20:H20)</f>
        <v>146</v>
      </c>
      <c r="J20" s="9"/>
    </row>
    <row r="21">
      <c r="A21" s="14"/>
      <c r="B21" s="15"/>
      <c r="C21" s="11" t="s">
        <v>51</v>
      </c>
      <c r="D21" s="11" t="s">
        <v>49</v>
      </c>
      <c r="E21" s="6" t="s">
        <v>52</v>
      </c>
      <c r="F21" s="6">
        <v>28.0</v>
      </c>
      <c r="G21" s="20">
        <v>0.0</v>
      </c>
      <c r="H21" s="6">
        <v>0.0</v>
      </c>
      <c r="I21" s="6">
        <f t="shared" si="4"/>
        <v>28</v>
      </c>
      <c r="J21" s="9"/>
    </row>
    <row r="22">
      <c r="A22" s="14"/>
      <c r="B22" s="15"/>
      <c r="C22" s="11" t="s">
        <v>53</v>
      </c>
      <c r="D22" s="11" t="s">
        <v>49</v>
      </c>
      <c r="E22" s="6" t="s">
        <v>54</v>
      </c>
      <c r="F22" s="6">
        <v>19.0</v>
      </c>
      <c r="G22" s="20">
        <v>25.0</v>
      </c>
      <c r="H22" s="6">
        <v>0.0</v>
      </c>
      <c r="I22" s="6">
        <f t="shared" si="4"/>
        <v>44</v>
      </c>
      <c r="J22" s="9"/>
    </row>
    <row r="23">
      <c r="A23" s="14"/>
      <c r="B23" s="15"/>
      <c r="C23" s="11" t="s">
        <v>55</v>
      </c>
      <c r="D23" s="11" t="s">
        <v>49</v>
      </c>
      <c r="E23" s="6" t="s">
        <v>56</v>
      </c>
      <c r="F23" s="6">
        <v>0.0</v>
      </c>
      <c r="G23" s="20">
        <v>3.0</v>
      </c>
      <c r="H23" s="6">
        <v>0.0</v>
      </c>
      <c r="I23" s="6">
        <f t="shared" si="4"/>
        <v>3</v>
      </c>
      <c r="J23" s="9"/>
    </row>
    <row r="24">
      <c r="A24" s="16"/>
      <c r="B24" s="15"/>
      <c r="C24" s="11" t="s">
        <v>57</v>
      </c>
      <c r="D24" s="11" t="s">
        <v>49</v>
      </c>
      <c r="E24" s="6" t="s">
        <v>58</v>
      </c>
      <c r="F24" s="6">
        <v>0.0</v>
      </c>
      <c r="G24" s="20">
        <v>39.0</v>
      </c>
      <c r="H24" s="6">
        <v>0.0</v>
      </c>
      <c r="I24" s="6">
        <f t="shared" si="4"/>
        <v>39</v>
      </c>
      <c r="J24" s="9"/>
    </row>
    <row r="25">
      <c r="A25" s="19"/>
      <c r="B25" s="15"/>
      <c r="C25" s="9"/>
      <c r="D25" s="9"/>
      <c r="E25" s="9"/>
      <c r="F25" s="17"/>
      <c r="G25" s="17"/>
      <c r="H25" s="17"/>
      <c r="I25" s="17"/>
      <c r="J25" s="9"/>
    </row>
    <row r="26">
      <c r="A26" s="10"/>
      <c r="B26" s="15"/>
      <c r="C26" s="7" t="s">
        <v>59</v>
      </c>
      <c r="D26" s="7" t="s">
        <v>3</v>
      </c>
      <c r="E26" s="8" t="s">
        <v>4</v>
      </c>
      <c r="F26" s="6" t="s">
        <v>0</v>
      </c>
      <c r="G26" s="6" t="s">
        <v>30</v>
      </c>
      <c r="H26" s="6" t="s">
        <v>31</v>
      </c>
      <c r="I26" s="6" t="s">
        <v>32</v>
      </c>
      <c r="J26" s="9"/>
    </row>
    <row r="27">
      <c r="A27" s="14"/>
      <c r="B27" s="15"/>
      <c r="C27" s="11" t="s">
        <v>60</v>
      </c>
      <c r="D27" s="11" t="s">
        <v>61</v>
      </c>
      <c r="E27" s="6" t="s">
        <v>62</v>
      </c>
      <c r="F27" s="6">
        <v>27.0</v>
      </c>
      <c r="G27" s="12">
        <v>0.0</v>
      </c>
      <c r="H27" s="6">
        <v>0.0</v>
      </c>
      <c r="I27" s="18">
        <f t="shared" ref="I27:I30" si="5">SUM(F27:H27)</f>
        <v>27</v>
      </c>
      <c r="J27" s="9"/>
    </row>
    <row r="28">
      <c r="A28" s="14"/>
      <c r="B28" s="15"/>
      <c r="C28" s="11" t="s">
        <v>63</v>
      </c>
      <c r="D28" s="11" t="s">
        <v>64</v>
      </c>
      <c r="E28" s="6" t="s">
        <v>49</v>
      </c>
      <c r="F28" s="6">
        <v>4.0</v>
      </c>
      <c r="G28" s="21" t="s">
        <v>65</v>
      </c>
      <c r="H28" s="6" t="s">
        <v>65</v>
      </c>
      <c r="I28" s="18">
        <f t="shared" si="5"/>
        <v>4</v>
      </c>
      <c r="J28" s="9"/>
    </row>
    <row r="29">
      <c r="A29" s="14"/>
      <c r="B29" s="15"/>
      <c r="C29" s="11" t="s">
        <v>66</v>
      </c>
      <c r="D29" s="11" t="s">
        <v>64</v>
      </c>
      <c r="E29" s="6" t="s">
        <v>49</v>
      </c>
      <c r="F29" s="6">
        <v>3.0</v>
      </c>
      <c r="G29" s="21" t="s">
        <v>65</v>
      </c>
      <c r="H29" s="6" t="s">
        <v>65</v>
      </c>
      <c r="I29" s="18">
        <f t="shared" si="5"/>
        <v>3</v>
      </c>
      <c r="J29" s="9"/>
    </row>
    <row r="30">
      <c r="A30" s="16"/>
      <c r="C30" s="11" t="s">
        <v>67</v>
      </c>
      <c r="D30" s="11" t="s">
        <v>64</v>
      </c>
      <c r="E30" s="6" t="s">
        <v>49</v>
      </c>
      <c r="F30" s="6">
        <v>3.0</v>
      </c>
      <c r="G30" s="21" t="s">
        <v>65</v>
      </c>
      <c r="H30" s="6" t="s">
        <v>65</v>
      </c>
      <c r="I30" s="18">
        <f t="shared" si="5"/>
        <v>3</v>
      </c>
    </row>
  </sheetData>
  <mergeCells count="5">
    <mergeCell ref="C2:I2"/>
    <mergeCell ref="A4:A11"/>
    <mergeCell ref="A13:A17"/>
    <mergeCell ref="A19:A24"/>
    <mergeCell ref="A26:A30"/>
  </mergeCells>
  <conditionalFormatting sqref="H4:H1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4:G12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4:F12">
    <cfRule type="cellIs" dxfId="0" priority="3" operator="lessThanOrEqual">
      <formula>4</formula>
    </cfRule>
  </conditionalFormatting>
  <conditionalFormatting sqref="E27:F27">
    <cfRule type="cellIs" dxfId="1" priority="4" operator="greaterThanOrEqual">
      <formula>9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8.63"/>
    <col customWidth="1" min="3" max="3" width="7.63"/>
    <col customWidth="1" min="4" max="4" width="7.25"/>
    <col customWidth="1" min="5" max="5" width="6.88"/>
    <col customWidth="1" min="6" max="6" width="10.13"/>
    <col customWidth="1" min="7" max="7" width="9.25"/>
    <col customWidth="1" min="8" max="8" width="2.38"/>
    <col customWidth="1" min="9" max="9" width="7.0"/>
    <col customWidth="1" min="10" max="11" width="10.25"/>
    <col customWidth="1" min="12" max="12" width="3.38"/>
    <col customWidth="1" min="13" max="13" width="2.13"/>
    <col customWidth="1" min="14" max="14" width="6.88"/>
    <col customWidth="1" min="15" max="15" width="10.63"/>
    <col customWidth="1" min="16" max="16" width="8.88"/>
    <col customWidth="1" min="17" max="17" width="14.38"/>
    <col customWidth="1" min="18" max="18" width="15.0"/>
    <col customWidth="1" min="19" max="19" width="14.88"/>
    <col customWidth="1" min="24" max="24" width="22.25"/>
  </cols>
  <sheetData>
    <row r="1">
      <c r="A1" s="1" t="s">
        <v>1</v>
      </c>
      <c r="B1" s="2">
        <v>45723.0</v>
      </c>
      <c r="C1" s="3"/>
      <c r="D1" s="4"/>
      <c r="E1" s="4"/>
      <c r="F1" s="4"/>
      <c r="G1" s="4"/>
      <c r="I1" s="5"/>
      <c r="L1" s="5"/>
      <c r="Q1" s="1" t="s">
        <v>1</v>
      </c>
      <c r="R1" s="2">
        <v>45945.0</v>
      </c>
      <c r="S1" s="3"/>
      <c r="T1" s="4"/>
      <c r="U1" s="4" t="s">
        <v>68</v>
      </c>
      <c r="V1" s="2">
        <v>46112.0</v>
      </c>
      <c r="W1" s="4"/>
    </row>
    <row r="2">
      <c r="A2" s="4" t="s">
        <v>0</v>
      </c>
      <c r="J2" s="5"/>
      <c r="K2" s="5" t="s">
        <v>30</v>
      </c>
      <c r="Q2" s="4" t="s">
        <v>0</v>
      </c>
    </row>
    <row r="3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/>
      <c r="I3" s="8" t="s">
        <v>30</v>
      </c>
      <c r="J3" s="8" t="s">
        <v>4</v>
      </c>
      <c r="K3" s="8" t="s">
        <v>31</v>
      </c>
      <c r="L3" s="8" t="s">
        <v>32</v>
      </c>
      <c r="M3" s="15"/>
      <c r="N3" s="8" t="s">
        <v>69</v>
      </c>
      <c r="O3" s="8" t="s">
        <v>70</v>
      </c>
      <c r="Q3" s="7" t="s">
        <v>2</v>
      </c>
      <c r="R3" s="7" t="s">
        <v>3</v>
      </c>
      <c r="S3" s="8" t="s">
        <v>4</v>
      </c>
      <c r="T3" s="8" t="s">
        <v>5</v>
      </c>
      <c r="U3" s="8" t="s">
        <v>6</v>
      </c>
      <c r="V3" s="8" t="s">
        <v>7</v>
      </c>
      <c r="W3" s="8" t="s">
        <v>8</v>
      </c>
      <c r="X3" s="9"/>
    </row>
    <row r="4">
      <c r="A4" s="11" t="s">
        <v>71</v>
      </c>
      <c r="B4" s="11" t="s">
        <v>10</v>
      </c>
      <c r="C4" s="6" t="s">
        <v>11</v>
      </c>
      <c r="D4" s="12">
        <v>16.0</v>
      </c>
      <c r="E4" s="6">
        <v>7.0</v>
      </c>
      <c r="F4" s="6">
        <v>21.0</v>
      </c>
      <c r="G4" s="13">
        <f t="shared" ref="G4:G9" si="1">F4+E4+D4</f>
        <v>44</v>
      </c>
      <c r="H4" s="9"/>
      <c r="I4" s="12">
        <v>0.0</v>
      </c>
      <c r="J4" s="6" t="s">
        <v>11</v>
      </c>
      <c r="K4" s="6">
        <v>0.0</v>
      </c>
      <c r="L4" s="6"/>
      <c r="M4" s="9"/>
      <c r="N4" s="13">
        <f t="shared" ref="N4:N9" si="2">G4+I4</f>
        <v>44</v>
      </c>
      <c r="O4" s="13">
        <f t="shared" ref="O4:O9" si="3">N4+K4</f>
        <v>44</v>
      </c>
      <c r="Q4" s="11" t="s">
        <v>71</v>
      </c>
      <c r="R4" s="11" t="s">
        <v>10</v>
      </c>
      <c r="S4" s="6" t="s">
        <v>11</v>
      </c>
      <c r="T4" s="12">
        <v>10.0</v>
      </c>
      <c r="U4" s="6">
        <v>8.0</v>
      </c>
      <c r="V4" s="6">
        <v>21.0</v>
      </c>
      <c r="W4" s="13">
        <f t="shared" ref="W4:W9" si="4">V4+U4+T4</f>
        <v>39</v>
      </c>
      <c r="X4" s="9"/>
    </row>
    <row r="5">
      <c r="A5" s="11" t="s">
        <v>72</v>
      </c>
      <c r="B5" s="11" t="s">
        <v>13</v>
      </c>
      <c r="C5" s="6" t="s">
        <v>14</v>
      </c>
      <c r="D5" s="12">
        <v>19.0</v>
      </c>
      <c r="E5" s="6">
        <v>7.0</v>
      </c>
      <c r="F5" s="6">
        <v>26.0</v>
      </c>
      <c r="G5" s="13">
        <f t="shared" si="1"/>
        <v>52</v>
      </c>
      <c r="H5" s="9"/>
      <c r="I5" s="12">
        <v>0.0</v>
      </c>
      <c r="J5" s="6" t="s">
        <v>14</v>
      </c>
      <c r="K5" s="6">
        <v>0.0</v>
      </c>
      <c r="L5" s="6"/>
      <c r="M5" s="9"/>
      <c r="N5" s="13">
        <f t="shared" si="2"/>
        <v>52</v>
      </c>
      <c r="O5" s="13">
        <f t="shared" si="3"/>
        <v>52</v>
      </c>
      <c r="Q5" s="11" t="s">
        <v>72</v>
      </c>
      <c r="R5" s="11" t="s">
        <v>13</v>
      </c>
      <c r="S5" s="6" t="s">
        <v>14</v>
      </c>
      <c r="T5" s="12">
        <v>16.0</v>
      </c>
      <c r="U5" s="6">
        <v>7.0</v>
      </c>
      <c r="V5" s="6">
        <v>24.0</v>
      </c>
      <c r="W5" s="13">
        <f t="shared" si="4"/>
        <v>47</v>
      </c>
      <c r="X5" s="9"/>
    </row>
    <row r="6">
      <c r="A6" s="11" t="s">
        <v>73</v>
      </c>
      <c r="B6" s="11" t="s">
        <v>16</v>
      </c>
      <c r="C6" s="6" t="s">
        <v>17</v>
      </c>
      <c r="D6" s="12">
        <v>11.0</v>
      </c>
      <c r="E6" s="6">
        <v>0.0</v>
      </c>
      <c r="F6" s="6">
        <v>0.0</v>
      </c>
      <c r="G6" s="13">
        <f t="shared" si="1"/>
        <v>11</v>
      </c>
      <c r="H6" s="9"/>
      <c r="I6" s="12">
        <v>0.0</v>
      </c>
      <c r="J6" s="6" t="s">
        <v>17</v>
      </c>
      <c r="K6" s="6">
        <v>0.0</v>
      </c>
      <c r="L6" s="6"/>
      <c r="M6" s="9"/>
      <c r="N6" s="13">
        <f t="shared" si="2"/>
        <v>11</v>
      </c>
      <c r="O6" s="13">
        <f t="shared" si="3"/>
        <v>11</v>
      </c>
      <c r="Q6" s="11" t="s">
        <v>73</v>
      </c>
      <c r="R6" s="11" t="s">
        <v>16</v>
      </c>
      <c r="S6" s="6" t="s">
        <v>17</v>
      </c>
      <c r="T6" s="12">
        <v>4.0</v>
      </c>
      <c r="U6" s="6">
        <v>0.0</v>
      </c>
      <c r="V6" s="6">
        <v>0.0</v>
      </c>
      <c r="W6" s="13">
        <f t="shared" si="4"/>
        <v>4</v>
      </c>
      <c r="X6" s="9"/>
    </row>
    <row r="7">
      <c r="A7" s="11" t="s">
        <v>74</v>
      </c>
      <c r="B7" s="11" t="s">
        <v>20</v>
      </c>
      <c r="C7" s="6" t="s">
        <v>21</v>
      </c>
      <c r="D7" s="12">
        <v>9.0</v>
      </c>
      <c r="E7" s="6">
        <v>0.0</v>
      </c>
      <c r="F7" s="6">
        <v>0.0</v>
      </c>
      <c r="G7" s="13">
        <f t="shared" si="1"/>
        <v>9</v>
      </c>
      <c r="H7" s="9"/>
      <c r="I7" s="12">
        <v>0.0</v>
      </c>
      <c r="J7" s="6" t="s">
        <v>21</v>
      </c>
      <c r="K7" s="6">
        <v>0.0</v>
      </c>
      <c r="L7" s="6"/>
      <c r="M7" s="9"/>
      <c r="N7" s="13">
        <f t="shared" si="2"/>
        <v>9</v>
      </c>
      <c r="O7" s="13">
        <f t="shared" si="3"/>
        <v>9</v>
      </c>
      <c r="Q7" s="11" t="s">
        <v>74</v>
      </c>
      <c r="R7" s="11" t="s">
        <v>20</v>
      </c>
      <c r="S7" s="6" t="s">
        <v>21</v>
      </c>
      <c r="T7" s="12">
        <v>2.0</v>
      </c>
      <c r="U7" s="6">
        <v>0.0</v>
      </c>
      <c r="V7" s="6">
        <v>0.0</v>
      </c>
      <c r="W7" s="13">
        <f t="shared" si="4"/>
        <v>2</v>
      </c>
      <c r="X7" s="9"/>
    </row>
    <row r="8">
      <c r="A8" s="11" t="s">
        <v>75</v>
      </c>
      <c r="B8" s="11" t="s">
        <v>23</v>
      </c>
      <c r="C8" s="6" t="s">
        <v>24</v>
      </c>
      <c r="D8" s="12">
        <v>4.0</v>
      </c>
      <c r="E8" s="6">
        <v>1.0</v>
      </c>
      <c r="F8" s="6">
        <v>0.0</v>
      </c>
      <c r="G8" s="13">
        <f t="shared" si="1"/>
        <v>5</v>
      </c>
      <c r="H8" s="9"/>
      <c r="I8" s="12">
        <v>0.0</v>
      </c>
      <c r="J8" s="6" t="s">
        <v>24</v>
      </c>
      <c r="K8" s="6">
        <v>0.0</v>
      </c>
      <c r="L8" s="6"/>
      <c r="M8" s="9"/>
      <c r="N8" s="13">
        <f t="shared" si="2"/>
        <v>5</v>
      </c>
      <c r="O8" s="13">
        <f t="shared" si="3"/>
        <v>5</v>
      </c>
      <c r="Q8" s="11" t="s">
        <v>75</v>
      </c>
      <c r="R8" s="11" t="s">
        <v>23</v>
      </c>
      <c r="S8" s="6" t="s">
        <v>24</v>
      </c>
      <c r="T8" s="12">
        <v>9.0</v>
      </c>
      <c r="U8" s="6">
        <v>1.0</v>
      </c>
      <c r="V8" s="6">
        <v>0.0</v>
      </c>
      <c r="W8" s="13">
        <f t="shared" si="4"/>
        <v>10</v>
      </c>
      <c r="X8" s="15" t="s">
        <v>76</v>
      </c>
    </row>
    <row r="9">
      <c r="A9" s="11" t="s">
        <v>77</v>
      </c>
      <c r="B9" s="11" t="s">
        <v>27</v>
      </c>
      <c r="C9" s="6" t="s">
        <v>28</v>
      </c>
      <c r="D9" s="12">
        <v>12.0</v>
      </c>
      <c r="E9" s="6">
        <v>12.0</v>
      </c>
      <c r="F9" s="6">
        <v>13.0</v>
      </c>
      <c r="G9" s="13">
        <f t="shared" si="1"/>
        <v>37</v>
      </c>
      <c r="H9" s="9"/>
      <c r="I9" s="12">
        <v>0.0</v>
      </c>
      <c r="J9" s="6" t="s">
        <v>28</v>
      </c>
      <c r="K9" s="6">
        <v>0.0</v>
      </c>
      <c r="L9" s="18"/>
      <c r="M9" s="9"/>
      <c r="N9" s="13">
        <f t="shared" si="2"/>
        <v>37</v>
      </c>
      <c r="O9" s="13">
        <f t="shared" si="3"/>
        <v>37</v>
      </c>
      <c r="Q9" s="11" t="s">
        <v>77</v>
      </c>
      <c r="R9" s="11" t="s">
        <v>27</v>
      </c>
      <c r="S9" s="6" t="s">
        <v>28</v>
      </c>
      <c r="T9" s="12">
        <v>8.0</v>
      </c>
      <c r="U9" s="6">
        <v>12.0</v>
      </c>
      <c r="V9" s="6">
        <v>13.0</v>
      </c>
      <c r="W9" s="13">
        <f t="shared" si="4"/>
        <v>33</v>
      </c>
      <c r="X9" s="9"/>
    </row>
    <row r="10">
      <c r="A10" s="9"/>
      <c r="B10" s="9"/>
      <c r="C10" s="9"/>
      <c r="D10" s="17"/>
      <c r="E10" s="17"/>
      <c r="F10" s="17"/>
      <c r="G10" s="17"/>
      <c r="H10" s="9"/>
      <c r="I10" s="9"/>
      <c r="J10" s="9"/>
      <c r="K10" s="9"/>
      <c r="L10" s="9"/>
      <c r="M10" s="9"/>
      <c r="N10" s="9"/>
      <c r="O10" s="9"/>
      <c r="Q10" s="9"/>
      <c r="R10" s="9"/>
      <c r="S10" s="9"/>
      <c r="T10" s="17"/>
      <c r="U10" s="17"/>
      <c r="V10" s="17"/>
      <c r="W10" s="17"/>
      <c r="X10" s="9"/>
    </row>
    <row r="11">
      <c r="A11" s="7" t="s">
        <v>29</v>
      </c>
      <c r="B11" s="7" t="s">
        <v>3</v>
      </c>
      <c r="C11" s="8" t="s">
        <v>4</v>
      </c>
      <c r="D11" s="6" t="s">
        <v>0</v>
      </c>
      <c r="E11" s="6" t="s">
        <v>30</v>
      </c>
      <c r="F11" s="6" t="s">
        <v>31</v>
      </c>
      <c r="G11" s="6" t="s">
        <v>32</v>
      </c>
      <c r="H11" s="9"/>
      <c r="I11" s="9"/>
      <c r="J11" s="9"/>
      <c r="K11" s="9"/>
      <c r="L11" s="9"/>
      <c r="M11" s="9"/>
      <c r="N11" s="9"/>
      <c r="O11" s="9"/>
      <c r="P11" s="22" t="s">
        <v>78</v>
      </c>
      <c r="Q11" s="7" t="s">
        <v>29</v>
      </c>
      <c r="R11" s="7" t="s">
        <v>3</v>
      </c>
      <c r="S11" s="8" t="s">
        <v>4</v>
      </c>
      <c r="T11" s="6" t="s">
        <v>0</v>
      </c>
      <c r="U11" s="6" t="s">
        <v>30</v>
      </c>
      <c r="V11" s="6" t="s">
        <v>31</v>
      </c>
      <c r="W11" s="6" t="s">
        <v>32</v>
      </c>
      <c r="X11" s="9"/>
    </row>
    <row r="12">
      <c r="A12" s="11" t="s">
        <v>33</v>
      </c>
      <c r="B12" s="11" t="s">
        <v>34</v>
      </c>
      <c r="C12" s="6" t="s">
        <v>35</v>
      </c>
      <c r="D12" s="6">
        <v>6.0</v>
      </c>
      <c r="E12" s="12">
        <v>0.0</v>
      </c>
      <c r="F12" s="6">
        <v>0.0</v>
      </c>
      <c r="G12" s="18"/>
      <c r="H12" s="9"/>
      <c r="I12" s="9"/>
      <c r="J12" s="9"/>
      <c r="K12" s="9"/>
      <c r="L12" s="9"/>
      <c r="M12" s="9"/>
      <c r="N12" s="9"/>
      <c r="O12" s="9"/>
      <c r="Q12" s="11" t="s">
        <v>33</v>
      </c>
      <c r="R12" s="11" t="s">
        <v>34</v>
      </c>
      <c r="S12" s="6" t="s">
        <v>35</v>
      </c>
      <c r="T12" s="6">
        <v>6.0</v>
      </c>
      <c r="U12" s="12">
        <v>0.0</v>
      </c>
      <c r="V12" s="6">
        <v>0.0</v>
      </c>
      <c r="W12" s="18">
        <f t="shared" ref="W12:W15" si="5">SUM(T12:V12)</f>
        <v>6</v>
      </c>
      <c r="X12" s="9"/>
    </row>
    <row r="13">
      <c r="A13" s="11" t="s">
        <v>36</v>
      </c>
      <c r="B13" s="11" t="s">
        <v>37</v>
      </c>
      <c r="C13" s="6" t="s">
        <v>38</v>
      </c>
      <c r="D13" s="4">
        <v>3.0</v>
      </c>
      <c r="E13" s="12">
        <v>0.0</v>
      </c>
      <c r="F13" s="6">
        <v>0.0</v>
      </c>
      <c r="G13" s="6"/>
      <c r="H13" s="9"/>
      <c r="I13" s="9"/>
      <c r="J13" s="9"/>
      <c r="K13" s="9"/>
      <c r="L13" s="9"/>
      <c r="M13" s="9"/>
      <c r="N13" s="9"/>
      <c r="O13" s="9"/>
      <c r="Q13" s="11" t="s">
        <v>36</v>
      </c>
      <c r="R13" s="11" t="s">
        <v>37</v>
      </c>
      <c r="S13" s="6" t="s">
        <v>38</v>
      </c>
      <c r="T13" s="4">
        <v>3.0</v>
      </c>
      <c r="U13" s="12">
        <v>0.0</v>
      </c>
      <c r="V13" s="6">
        <v>0.0</v>
      </c>
      <c r="W13" s="18">
        <f t="shared" si="5"/>
        <v>3</v>
      </c>
      <c r="X13" s="9"/>
    </row>
    <row r="14">
      <c r="A14" s="11" t="s">
        <v>39</v>
      </c>
      <c r="B14" s="11" t="s">
        <v>40</v>
      </c>
      <c r="C14" s="6" t="s">
        <v>41</v>
      </c>
      <c r="D14" s="6">
        <v>5.0</v>
      </c>
      <c r="E14" s="12">
        <v>0.0</v>
      </c>
      <c r="F14" s="6">
        <v>0.0</v>
      </c>
      <c r="G14" s="6"/>
      <c r="H14" s="9"/>
      <c r="I14" s="9"/>
      <c r="J14" s="9"/>
      <c r="K14" s="9"/>
      <c r="L14" s="9"/>
      <c r="M14" s="9"/>
      <c r="N14" s="9"/>
      <c r="O14" s="9"/>
      <c r="Q14" s="11" t="s">
        <v>39</v>
      </c>
      <c r="R14" s="11" t="s">
        <v>40</v>
      </c>
      <c r="S14" s="6" t="s">
        <v>41</v>
      </c>
      <c r="T14" s="6">
        <v>5.0</v>
      </c>
      <c r="U14" s="12">
        <v>0.0</v>
      </c>
      <c r="V14" s="6">
        <v>0.0</v>
      </c>
      <c r="W14" s="18">
        <f t="shared" si="5"/>
        <v>5</v>
      </c>
      <c r="X14" s="9"/>
    </row>
    <row r="15">
      <c r="A15" s="11" t="s">
        <v>42</v>
      </c>
      <c r="B15" s="11" t="s">
        <v>43</v>
      </c>
      <c r="C15" s="6" t="s">
        <v>44</v>
      </c>
      <c r="D15" s="6">
        <v>2.0</v>
      </c>
      <c r="E15" s="12">
        <v>0.0</v>
      </c>
      <c r="F15" s="6">
        <v>0.0</v>
      </c>
      <c r="G15" s="6"/>
      <c r="H15" s="9"/>
      <c r="I15" s="9"/>
      <c r="J15" s="9"/>
      <c r="K15" s="9"/>
      <c r="L15" s="9"/>
      <c r="M15" s="9"/>
      <c r="N15" s="9"/>
      <c r="O15" s="9"/>
      <c r="Q15" s="11" t="s">
        <v>42</v>
      </c>
      <c r="R15" s="11" t="s">
        <v>43</v>
      </c>
      <c r="S15" s="6" t="s">
        <v>44</v>
      </c>
      <c r="T15" s="6">
        <v>2.0</v>
      </c>
      <c r="U15" s="12">
        <v>0.0</v>
      </c>
      <c r="V15" s="6">
        <v>0.0</v>
      </c>
      <c r="W15" s="18">
        <f t="shared" si="5"/>
        <v>2</v>
      </c>
      <c r="X15" s="9"/>
    </row>
    <row r="16">
      <c r="A16" s="9"/>
      <c r="B16" s="9"/>
      <c r="C16" s="9"/>
      <c r="D16" s="17"/>
      <c r="E16" s="17"/>
      <c r="F16" s="17"/>
      <c r="G16" s="17"/>
      <c r="H16" s="9"/>
      <c r="I16" s="9"/>
      <c r="J16" s="15"/>
      <c r="K16" s="9"/>
      <c r="L16" s="9"/>
      <c r="M16" s="9"/>
      <c r="N16" s="9"/>
      <c r="O16" s="9"/>
      <c r="Q16" s="9"/>
      <c r="R16" s="9"/>
      <c r="S16" s="9"/>
      <c r="T16" s="17"/>
      <c r="U16" s="17"/>
      <c r="V16" s="17"/>
      <c r="W16" s="17"/>
      <c r="X16" s="9"/>
    </row>
    <row r="17">
      <c r="A17" s="7" t="s">
        <v>45</v>
      </c>
      <c r="B17" s="7" t="s">
        <v>3</v>
      </c>
      <c r="C17" s="8" t="s">
        <v>4</v>
      </c>
      <c r="D17" s="6" t="s">
        <v>0</v>
      </c>
      <c r="E17" s="6" t="s">
        <v>30</v>
      </c>
      <c r="F17" s="6" t="s">
        <v>47</v>
      </c>
      <c r="G17" s="6" t="s">
        <v>32</v>
      </c>
      <c r="H17" s="9"/>
      <c r="I17" s="23"/>
      <c r="J17" s="15"/>
      <c r="K17" s="9"/>
      <c r="L17" s="9"/>
      <c r="M17" s="9"/>
      <c r="N17" s="9"/>
      <c r="O17" s="9"/>
      <c r="Q17" s="7" t="s">
        <v>45</v>
      </c>
      <c r="R17" s="7" t="s">
        <v>3</v>
      </c>
      <c r="S17" s="8" t="s">
        <v>4</v>
      </c>
      <c r="T17" s="6" t="s">
        <v>0</v>
      </c>
      <c r="U17" s="6" t="s">
        <v>30</v>
      </c>
      <c r="V17" s="6" t="s">
        <v>47</v>
      </c>
      <c r="W17" s="6" t="s">
        <v>32</v>
      </c>
      <c r="X17" s="9"/>
    </row>
    <row r="18">
      <c r="A18" s="11" t="s">
        <v>48</v>
      </c>
      <c r="B18" s="11" t="s">
        <v>49</v>
      </c>
      <c r="C18" s="6" t="s">
        <v>50</v>
      </c>
      <c r="D18" s="6">
        <v>81.0</v>
      </c>
      <c r="E18" s="12">
        <v>143.0</v>
      </c>
      <c r="F18" s="6">
        <v>0.0</v>
      </c>
      <c r="G18" s="6">
        <f t="shared" ref="G18:G22" si="6">SUM(D18:F18)</f>
        <v>224</v>
      </c>
      <c r="H18" s="9"/>
      <c r="I18" s="23"/>
      <c r="J18" s="9"/>
      <c r="K18" s="9"/>
      <c r="L18" s="9"/>
      <c r="M18" s="9"/>
      <c r="N18" s="9"/>
      <c r="O18" s="9"/>
      <c r="Q18" s="11" t="s">
        <v>48</v>
      </c>
      <c r="R18" s="11" t="s">
        <v>49</v>
      </c>
      <c r="S18" s="6" t="s">
        <v>50</v>
      </c>
      <c r="T18" s="6">
        <v>3.0</v>
      </c>
      <c r="U18" s="12">
        <v>143.0</v>
      </c>
      <c r="V18" s="6">
        <v>0.0</v>
      </c>
      <c r="W18" s="6">
        <f t="shared" ref="W18:W22" si="7">SUM(T18:V18)</f>
        <v>146</v>
      </c>
      <c r="X18" s="9"/>
    </row>
    <row r="19">
      <c r="A19" s="11" t="s">
        <v>51</v>
      </c>
      <c r="B19" s="11" t="s">
        <v>49</v>
      </c>
      <c r="C19" s="6" t="s">
        <v>52</v>
      </c>
      <c r="D19" s="6">
        <v>66.0</v>
      </c>
      <c r="E19" s="12">
        <v>0.0</v>
      </c>
      <c r="F19" s="6">
        <v>0.0</v>
      </c>
      <c r="G19" s="6">
        <f t="shared" si="6"/>
        <v>66</v>
      </c>
      <c r="H19" s="9"/>
      <c r="I19" s="23"/>
      <c r="J19" s="9"/>
      <c r="K19" s="9"/>
      <c r="L19" s="9"/>
      <c r="M19" s="9"/>
      <c r="N19" s="9"/>
      <c r="O19" s="9"/>
      <c r="Q19" s="11" t="s">
        <v>51</v>
      </c>
      <c r="R19" s="11" t="s">
        <v>49</v>
      </c>
      <c r="S19" s="6" t="s">
        <v>52</v>
      </c>
      <c r="T19" s="6">
        <v>27.0</v>
      </c>
      <c r="U19" s="12">
        <v>0.0</v>
      </c>
      <c r="V19" s="6">
        <v>0.0</v>
      </c>
      <c r="W19" s="6">
        <f t="shared" si="7"/>
        <v>27</v>
      </c>
      <c r="X19" s="9"/>
    </row>
    <row r="20">
      <c r="A20" s="11" t="s">
        <v>53</v>
      </c>
      <c r="B20" s="11" t="s">
        <v>49</v>
      </c>
      <c r="C20" s="6" t="s">
        <v>54</v>
      </c>
      <c r="D20" s="6">
        <v>0.0</v>
      </c>
      <c r="E20" s="12">
        <v>26.0</v>
      </c>
      <c r="F20" s="6">
        <v>0.0</v>
      </c>
      <c r="G20" s="6">
        <f t="shared" si="6"/>
        <v>26</v>
      </c>
      <c r="H20" s="9"/>
      <c r="I20" s="23"/>
      <c r="J20" s="9"/>
      <c r="K20" s="9"/>
      <c r="L20" s="9"/>
      <c r="M20" s="9"/>
      <c r="N20" s="9"/>
      <c r="O20" s="9"/>
      <c r="Q20" s="11" t="s">
        <v>53</v>
      </c>
      <c r="R20" s="11" t="s">
        <v>49</v>
      </c>
      <c r="S20" s="6" t="s">
        <v>54</v>
      </c>
      <c r="T20" s="6">
        <v>18.0</v>
      </c>
      <c r="U20" s="12">
        <v>25.0</v>
      </c>
      <c r="V20" s="6">
        <v>0.0</v>
      </c>
      <c r="W20" s="6">
        <f t="shared" si="7"/>
        <v>43</v>
      </c>
      <c r="X20" s="9"/>
    </row>
    <row r="21">
      <c r="A21" s="11" t="s">
        <v>55</v>
      </c>
      <c r="B21" s="11" t="s">
        <v>49</v>
      </c>
      <c r="C21" s="6" t="s">
        <v>56</v>
      </c>
      <c r="D21" s="6">
        <v>0.0</v>
      </c>
      <c r="E21" s="12">
        <v>3.0</v>
      </c>
      <c r="F21" s="6">
        <v>0.0</v>
      </c>
      <c r="G21" s="6">
        <f t="shared" si="6"/>
        <v>3</v>
      </c>
      <c r="H21" s="9"/>
      <c r="I21" s="23"/>
      <c r="J21" s="9"/>
      <c r="K21" s="9"/>
      <c r="L21" s="9"/>
      <c r="M21" s="9"/>
      <c r="N21" s="9"/>
      <c r="O21" s="9"/>
      <c r="Q21" s="11" t="s">
        <v>55</v>
      </c>
      <c r="R21" s="11" t="s">
        <v>49</v>
      </c>
      <c r="S21" s="6" t="s">
        <v>56</v>
      </c>
      <c r="T21" s="6">
        <v>0.0</v>
      </c>
      <c r="U21" s="12">
        <v>3.0</v>
      </c>
      <c r="V21" s="6">
        <v>0.0</v>
      </c>
      <c r="W21" s="6">
        <f t="shared" si="7"/>
        <v>3</v>
      </c>
      <c r="X21" s="9"/>
    </row>
    <row r="22">
      <c r="A22" s="11" t="s">
        <v>57</v>
      </c>
      <c r="B22" s="11" t="s">
        <v>49</v>
      </c>
      <c r="C22" s="6" t="s">
        <v>58</v>
      </c>
      <c r="D22" s="6">
        <v>0.0</v>
      </c>
      <c r="E22" s="12">
        <v>40.0</v>
      </c>
      <c r="F22" s="6">
        <v>0.0</v>
      </c>
      <c r="G22" s="6">
        <f t="shared" si="6"/>
        <v>40</v>
      </c>
      <c r="H22" s="9"/>
      <c r="I22" s="9"/>
      <c r="J22" s="9"/>
      <c r="K22" s="9"/>
      <c r="L22" s="9"/>
      <c r="M22" s="9"/>
      <c r="N22" s="9"/>
      <c r="O22" s="9"/>
      <c r="Q22" s="11" t="s">
        <v>57</v>
      </c>
      <c r="R22" s="11" t="s">
        <v>49</v>
      </c>
      <c r="S22" s="6" t="s">
        <v>58</v>
      </c>
      <c r="T22" s="6">
        <v>0.0</v>
      </c>
      <c r="U22" s="12">
        <v>39.0</v>
      </c>
      <c r="V22" s="6">
        <v>0.0</v>
      </c>
      <c r="W22" s="6">
        <f t="shared" si="7"/>
        <v>39</v>
      </c>
      <c r="X22" s="9"/>
    </row>
    <row r="23">
      <c r="A23" s="9"/>
      <c r="B23" s="9"/>
      <c r="C23" s="9"/>
      <c r="D23" s="17"/>
      <c r="E23" s="17"/>
      <c r="F23" s="17"/>
      <c r="G23" s="17"/>
      <c r="H23" s="9"/>
      <c r="I23" s="9"/>
      <c r="J23" s="9"/>
      <c r="K23" s="9"/>
      <c r="L23" s="9"/>
      <c r="M23" s="9"/>
      <c r="N23" s="9"/>
      <c r="O23" s="9"/>
      <c r="Q23" s="9"/>
      <c r="R23" s="9"/>
      <c r="S23" s="9"/>
      <c r="T23" s="17"/>
      <c r="U23" s="17"/>
      <c r="V23" s="17"/>
      <c r="W23" s="17"/>
      <c r="X23" s="9"/>
    </row>
    <row r="24">
      <c r="A24" s="7" t="s">
        <v>59</v>
      </c>
      <c r="B24" s="7" t="s">
        <v>3</v>
      </c>
      <c r="C24" s="8" t="s">
        <v>4</v>
      </c>
      <c r="D24" s="6" t="s">
        <v>0</v>
      </c>
      <c r="E24" s="6" t="s">
        <v>30</v>
      </c>
      <c r="F24" s="6" t="s">
        <v>31</v>
      </c>
      <c r="G24" s="6" t="s">
        <v>32</v>
      </c>
      <c r="H24" s="9"/>
      <c r="I24" s="23"/>
      <c r="J24" s="9"/>
      <c r="K24" s="9"/>
      <c r="L24" s="9"/>
      <c r="M24" s="9"/>
      <c r="N24" s="9"/>
      <c r="O24" s="9"/>
      <c r="Q24" s="7" t="s">
        <v>59</v>
      </c>
      <c r="R24" s="7" t="s">
        <v>3</v>
      </c>
      <c r="S24" s="8" t="s">
        <v>4</v>
      </c>
      <c r="T24" s="6" t="s">
        <v>0</v>
      </c>
      <c r="U24" s="6" t="s">
        <v>30</v>
      </c>
      <c r="V24" s="6" t="s">
        <v>31</v>
      </c>
      <c r="W24" s="6" t="s">
        <v>32</v>
      </c>
      <c r="X24" s="9"/>
    </row>
    <row r="25">
      <c r="A25" s="11" t="s">
        <v>60</v>
      </c>
      <c r="B25" s="11" t="s">
        <v>61</v>
      </c>
      <c r="C25" s="6" t="s">
        <v>62</v>
      </c>
      <c r="D25" s="6">
        <v>28.0</v>
      </c>
      <c r="E25" s="12">
        <v>0.0</v>
      </c>
      <c r="F25" s="6">
        <v>0.0</v>
      </c>
      <c r="G25" s="18"/>
      <c r="H25" s="9"/>
      <c r="I25" s="23"/>
      <c r="J25" s="9"/>
      <c r="K25" s="9"/>
      <c r="L25" s="9"/>
      <c r="M25" s="9"/>
      <c r="N25" s="9"/>
      <c r="O25" s="9"/>
      <c r="Q25" s="11" t="s">
        <v>60</v>
      </c>
      <c r="R25" s="11" t="s">
        <v>61</v>
      </c>
      <c r="S25" s="6" t="s">
        <v>62</v>
      </c>
      <c r="T25" s="6">
        <v>27.0</v>
      </c>
      <c r="U25" s="12">
        <v>0.0</v>
      </c>
      <c r="V25" s="6">
        <v>0.0</v>
      </c>
      <c r="W25" s="18">
        <f t="shared" ref="W25:W28" si="8">SUM(T25:V25)</f>
        <v>27</v>
      </c>
      <c r="X25" s="9"/>
    </row>
    <row r="26">
      <c r="A26" s="11" t="s">
        <v>63</v>
      </c>
      <c r="B26" s="11" t="s">
        <v>64</v>
      </c>
      <c r="C26" s="6" t="s">
        <v>49</v>
      </c>
      <c r="D26" s="6">
        <v>4.0</v>
      </c>
      <c r="E26" s="21" t="s">
        <v>65</v>
      </c>
      <c r="F26" s="6" t="s">
        <v>65</v>
      </c>
      <c r="G26" s="6"/>
      <c r="H26" s="9"/>
      <c r="I26" s="9"/>
      <c r="J26" s="9"/>
      <c r="K26" s="9"/>
      <c r="L26" s="9"/>
      <c r="M26" s="9"/>
      <c r="N26" s="9"/>
      <c r="O26" s="9"/>
      <c r="Q26" s="11" t="s">
        <v>63</v>
      </c>
      <c r="R26" s="11" t="s">
        <v>64</v>
      </c>
      <c r="S26" s="6" t="s">
        <v>49</v>
      </c>
      <c r="T26" s="6">
        <v>4.0</v>
      </c>
      <c r="U26" s="21" t="s">
        <v>65</v>
      </c>
      <c r="V26" s="6" t="s">
        <v>65</v>
      </c>
      <c r="W26" s="18">
        <f t="shared" si="8"/>
        <v>4</v>
      </c>
      <c r="X26" s="9"/>
    </row>
    <row r="27">
      <c r="A27" s="11" t="s">
        <v>66</v>
      </c>
      <c r="B27" s="11" t="s">
        <v>64</v>
      </c>
      <c r="C27" s="6" t="s">
        <v>49</v>
      </c>
      <c r="D27" s="6">
        <v>3.0</v>
      </c>
      <c r="E27" s="21" t="s">
        <v>65</v>
      </c>
      <c r="F27" s="6" t="s">
        <v>65</v>
      </c>
      <c r="G27" s="6"/>
      <c r="H27" s="9"/>
      <c r="I27" s="9"/>
      <c r="J27" s="9"/>
      <c r="K27" s="9"/>
      <c r="L27" s="9"/>
      <c r="M27" s="9"/>
      <c r="N27" s="9"/>
      <c r="O27" s="9"/>
      <c r="Q27" s="11" t="s">
        <v>66</v>
      </c>
      <c r="R27" s="11" t="s">
        <v>64</v>
      </c>
      <c r="S27" s="6" t="s">
        <v>49</v>
      </c>
      <c r="T27" s="6">
        <v>3.0</v>
      </c>
      <c r="U27" s="21" t="s">
        <v>65</v>
      </c>
      <c r="V27" s="6" t="s">
        <v>65</v>
      </c>
      <c r="W27" s="18">
        <f t="shared" si="8"/>
        <v>3</v>
      </c>
      <c r="X27" s="9"/>
    </row>
    <row r="28">
      <c r="A28" s="11" t="s">
        <v>67</v>
      </c>
      <c r="B28" s="11" t="s">
        <v>64</v>
      </c>
      <c r="C28" s="6" t="s">
        <v>49</v>
      </c>
      <c r="D28" s="6">
        <v>3.0</v>
      </c>
      <c r="E28" s="21" t="s">
        <v>65</v>
      </c>
      <c r="F28" s="6" t="s">
        <v>65</v>
      </c>
      <c r="G28" s="6"/>
      <c r="H28" s="9"/>
      <c r="I28" s="9"/>
      <c r="J28" s="9"/>
      <c r="K28" s="9"/>
      <c r="L28" s="9"/>
      <c r="M28" s="9"/>
      <c r="N28" s="9"/>
      <c r="O28" s="9"/>
      <c r="Q28" s="11" t="s">
        <v>67</v>
      </c>
      <c r="R28" s="11" t="s">
        <v>64</v>
      </c>
      <c r="S28" s="6" t="s">
        <v>49</v>
      </c>
      <c r="T28" s="6">
        <v>3.0</v>
      </c>
      <c r="U28" s="21" t="s">
        <v>65</v>
      </c>
      <c r="V28" s="6" t="s">
        <v>65</v>
      </c>
      <c r="W28" s="18">
        <f t="shared" si="8"/>
        <v>3</v>
      </c>
      <c r="X28" s="9"/>
    </row>
    <row r="32">
      <c r="Q32" s="7" t="s">
        <v>2</v>
      </c>
      <c r="R32" s="7" t="s">
        <v>3</v>
      </c>
      <c r="S32" s="8" t="s">
        <v>4</v>
      </c>
      <c r="T32" s="8" t="s">
        <v>79</v>
      </c>
      <c r="U32" s="24" t="s">
        <v>80</v>
      </c>
      <c r="V32" s="25" t="s">
        <v>81</v>
      </c>
      <c r="W32" s="4" t="s">
        <v>82</v>
      </c>
    </row>
    <row r="33">
      <c r="Q33" s="26" t="s">
        <v>71</v>
      </c>
      <c r="R33" s="26" t="s">
        <v>10</v>
      </c>
      <c r="S33" s="27" t="s">
        <v>11</v>
      </c>
      <c r="T33" s="28">
        <f t="shared" ref="T33:T37" si="9">(G4-W4)*1.3</f>
        <v>6.5</v>
      </c>
      <c r="U33" s="29">
        <f>ROUNDUP((T33*(V1-R1))/(R1-B1),0)</f>
        <v>5</v>
      </c>
      <c r="V33" s="29">
        <f t="shared" ref="V33:V38" si="10">U33-W4</f>
        <v>-34</v>
      </c>
    </row>
    <row r="34">
      <c r="Q34" s="26" t="s">
        <v>72</v>
      </c>
      <c r="R34" s="26" t="s">
        <v>13</v>
      </c>
      <c r="S34" s="27" t="s">
        <v>14</v>
      </c>
      <c r="T34" s="28">
        <f t="shared" si="9"/>
        <v>6.5</v>
      </c>
      <c r="U34" s="29">
        <f>ROUNDUP((T34*(V1-R1))/(R1-B1),0)</f>
        <v>5</v>
      </c>
      <c r="V34" s="29">
        <f t="shared" si="10"/>
        <v>-42</v>
      </c>
    </row>
    <row r="35">
      <c r="Q35" s="11" t="s">
        <v>73</v>
      </c>
      <c r="R35" s="11" t="s">
        <v>16</v>
      </c>
      <c r="S35" s="6" t="s">
        <v>17</v>
      </c>
      <c r="T35" s="28">
        <f t="shared" si="9"/>
        <v>9.1</v>
      </c>
      <c r="U35" s="30">
        <f>ROUNDUP((T35*(V1-R1))/(R1-B1),0)</f>
        <v>7</v>
      </c>
      <c r="V35" s="30">
        <f t="shared" si="10"/>
        <v>3</v>
      </c>
      <c r="X35" s="31">
        <f t="shared" ref="X35:X36" si="11">10+V35</f>
        <v>13</v>
      </c>
    </row>
    <row r="36">
      <c r="Q36" s="11" t="s">
        <v>74</v>
      </c>
      <c r="R36" s="11" t="s">
        <v>20</v>
      </c>
      <c r="S36" s="6" t="s">
        <v>21</v>
      </c>
      <c r="T36" s="28">
        <f t="shared" si="9"/>
        <v>9.1</v>
      </c>
      <c r="U36" s="30">
        <f>ROUNDUP((T36*(V1-R1))/(R1-B1),0)</f>
        <v>7</v>
      </c>
      <c r="V36" s="30">
        <f t="shared" si="10"/>
        <v>5</v>
      </c>
      <c r="X36" s="31">
        <f t="shared" si="11"/>
        <v>15</v>
      </c>
    </row>
    <row r="37">
      <c r="Q37" s="11" t="s">
        <v>75</v>
      </c>
      <c r="R37" s="11" t="s">
        <v>23</v>
      </c>
      <c r="S37" s="6" t="s">
        <v>24</v>
      </c>
      <c r="T37" s="28">
        <f t="shared" si="9"/>
        <v>-6.5</v>
      </c>
      <c r="U37" s="30">
        <f>ROUNDUP((T37*(V1-R1))/(R1-B1),0)</f>
        <v>-5</v>
      </c>
      <c r="V37" s="30">
        <f t="shared" si="10"/>
        <v>-15</v>
      </c>
      <c r="X37" s="31">
        <f>5+V37</f>
        <v>-10</v>
      </c>
    </row>
    <row r="38">
      <c r="Q38" s="26" t="s">
        <v>77</v>
      </c>
      <c r="R38" s="26" t="s">
        <v>27</v>
      </c>
      <c r="S38" s="27" t="s">
        <v>28</v>
      </c>
      <c r="T38" s="28">
        <f>1*1.3</f>
        <v>1.3</v>
      </c>
      <c r="U38" s="29">
        <f>ROUNDUP((T38*(V1-R1))/(R1-B1),0)</f>
        <v>1</v>
      </c>
      <c r="V38" s="29">
        <f t="shared" si="10"/>
        <v>-32</v>
      </c>
      <c r="W38" s="5" t="s">
        <v>83</v>
      </c>
    </row>
    <row r="39">
      <c r="U39" s="32"/>
    </row>
    <row r="40">
      <c r="Q40" s="7" t="s">
        <v>45</v>
      </c>
      <c r="R40" s="7" t="s">
        <v>3</v>
      </c>
      <c r="S40" s="8" t="s">
        <v>4</v>
      </c>
      <c r="T40" s="6" t="s">
        <v>79</v>
      </c>
      <c r="U40" s="25" t="s">
        <v>80</v>
      </c>
      <c r="V40" s="25" t="s">
        <v>81</v>
      </c>
    </row>
    <row r="41">
      <c r="Q41" s="11" t="s">
        <v>48</v>
      </c>
      <c r="R41" s="11" t="s">
        <v>49</v>
      </c>
      <c r="S41" s="6" t="s">
        <v>50</v>
      </c>
      <c r="T41" s="6">
        <f t="shared" ref="T41:T42" si="12">G18-W18</f>
        <v>78</v>
      </c>
      <c r="U41" s="30">
        <f>1.3*ROUNDUP((T41*(W47-V47))/(R1-B1),0)</f>
        <v>166.4</v>
      </c>
      <c r="V41" s="30">
        <f t="shared" ref="V41:V45" si="13">U41-W18</f>
        <v>20.4</v>
      </c>
    </row>
    <row r="42">
      <c r="Q42" s="11" t="s">
        <v>51</v>
      </c>
      <c r="R42" s="11" t="s">
        <v>49</v>
      </c>
      <c r="S42" s="6" t="s">
        <v>52</v>
      </c>
      <c r="T42" s="6">
        <f t="shared" si="12"/>
        <v>39</v>
      </c>
      <c r="U42" s="30">
        <f>1.3*ROUNDUP((T42*(W47-V47))/(R1-B1),0)</f>
        <v>83.2</v>
      </c>
      <c r="V42" s="30">
        <f t="shared" si="13"/>
        <v>56.2</v>
      </c>
      <c r="X42" s="5"/>
    </row>
    <row r="43">
      <c r="Q43" s="11" t="s">
        <v>53</v>
      </c>
      <c r="R43" s="11" t="s">
        <v>49</v>
      </c>
      <c r="S43" s="6" t="s">
        <v>54</v>
      </c>
      <c r="T43" s="6">
        <f t="shared" ref="T43:T44" si="14">1</f>
        <v>1</v>
      </c>
      <c r="U43" s="30">
        <f>1.5*ROUNDUP((T43*(W47-V47))/(R1-B1),0)</f>
        <v>3</v>
      </c>
      <c r="V43" s="30">
        <f t="shared" si="13"/>
        <v>-40</v>
      </c>
      <c r="W43" s="5" t="s">
        <v>83</v>
      </c>
    </row>
    <row r="44">
      <c r="Q44" s="11" t="s">
        <v>55</v>
      </c>
      <c r="R44" s="11" t="s">
        <v>49</v>
      </c>
      <c r="S44" s="6" t="s">
        <v>56</v>
      </c>
      <c r="T44" s="6">
        <f t="shared" si="14"/>
        <v>1</v>
      </c>
      <c r="U44" s="30">
        <f>1.5*ROUNDUP((T44*(W47-V47))/(R1-B1),0)</f>
        <v>3</v>
      </c>
      <c r="V44" s="30">
        <f t="shared" si="13"/>
        <v>0</v>
      </c>
      <c r="W44" s="5" t="s">
        <v>83</v>
      </c>
    </row>
    <row r="45">
      <c r="Q45" s="11" t="s">
        <v>57</v>
      </c>
      <c r="R45" s="11" t="s">
        <v>49</v>
      </c>
      <c r="S45" s="6" t="s">
        <v>58</v>
      </c>
      <c r="T45" s="6">
        <f>G22-W22</f>
        <v>1</v>
      </c>
      <c r="U45" s="30">
        <f>1.5*ROUNDUP((T45*(W47-V47))/(R1-B1),0)</f>
        <v>3</v>
      </c>
      <c r="V45" s="30">
        <f t="shared" si="13"/>
        <v>-36</v>
      </c>
    </row>
    <row r="47">
      <c r="Q47" s="33" t="s">
        <v>84</v>
      </c>
      <c r="R47" s="34"/>
      <c r="S47" s="34"/>
      <c r="T47" s="34"/>
      <c r="U47" s="35"/>
      <c r="V47" s="2">
        <v>46023.0</v>
      </c>
      <c r="W47" s="36">
        <v>46387.0</v>
      </c>
    </row>
    <row r="48">
      <c r="Q48" s="7" t="s">
        <v>2</v>
      </c>
      <c r="R48" s="7" t="s">
        <v>3</v>
      </c>
      <c r="S48" s="8" t="s">
        <v>4</v>
      </c>
      <c r="T48" s="8" t="s">
        <v>79</v>
      </c>
      <c r="U48" s="24" t="s">
        <v>80</v>
      </c>
      <c r="V48" s="4" t="s">
        <v>85</v>
      </c>
    </row>
    <row r="49">
      <c r="Q49" s="26" t="s">
        <v>71</v>
      </c>
      <c r="R49" s="26" t="s">
        <v>10</v>
      </c>
      <c r="S49" s="27" t="s">
        <v>11</v>
      </c>
      <c r="T49" s="37">
        <f t="shared" ref="T49:T52" si="15">(D4-T4)*1.3</f>
        <v>7.8</v>
      </c>
      <c r="U49" s="29">
        <f>ROUNDUP((T49*(W47-V47))/(R1-B1),0)</f>
        <v>13</v>
      </c>
    </row>
    <row r="50">
      <c r="Q50" s="26" t="s">
        <v>72</v>
      </c>
      <c r="R50" s="26" t="s">
        <v>13</v>
      </c>
      <c r="S50" s="27" t="s">
        <v>14</v>
      </c>
      <c r="T50" s="37">
        <f t="shared" si="15"/>
        <v>3.9</v>
      </c>
      <c r="U50" s="29">
        <f>ROUNDUP((T50*(W47-V47))/(R1-B1),0)</f>
        <v>7</v>
      </c>
    </row>
    <row r="51">
      <c r="Q51" s="11" t="s">
        <v>73</v>
      </c>
      <c r="R51" s="11" t="s">
        <v>16</v>
      </c>
      <c r="S51" s="6" t="s">
        <v>17</v>
      </c>
      <c r="T51" s="37">
        <f t="shared" si="15"/>
        <v>9.1</v>
      </c>
      <c r="U51" s="29">
        <f>ROUNDUP((T51*(W47-V47))/(R1-B1),0)</f>
        <v>15</v>
      </c>
    </row>
    <row r="52">
      <c r="Q52" s="11" t="s">
        <v>74</v>
      </c>
      <c r="R52" s="11" t="s">
        <v>20</v>
      </c>
      <c r="S52" s="6" t="s">
        <v>21</v>
      </c>
      <c r="T52" s="37">
        <f t="shared" si="15"/>
        <v>9.1</v>
      </c>
      <c r="U52" s="29">
        <f>ROUNDUP((T52*(W47-V47))/(R1-B1),0)</f>
        <v>15</v>
      </c>
    </row>
    <row r="53">
      <c r="Q53" s="11" t="s">
        <v>75</v>
      </c>
      <c r="R53" s="11" t="s">
        <v>23</v>
      </c>
      <c r="S53" s="6" t="s">
        <v>24</v>
      </c>
      <c r="T53" s="37">
        <f>(D8-T8)*1.3+(2.3077*5)</f>
        <v>5.0385</v>
      </c>
      <c r="U53" s="29">
        <f>ROUNDUP((T53*(W47-V47))/(R1-B1),0)</f>
        <v>9</v>
      </c>
      <c r="V53" s="5" t="s">
        <v>86</v>
      </c>
    </row>
    <row r="54">
      <c r="Q54" s="26" t="s">
        <v>77</v>
      </c>
      <c r="R54" s="26" t="s">
        <v>27</v>
      </c>
      <c r="S54" s="27" t="s">
        <v>28</v>
      </c>
      <c r="T54" s="37">
        <f>(D9-T9)*1.3</f>
        <v>5.2</v>
      </c>
      <c r="U54" s="29">
        <f>ROUNDUP((T54*(W47-V47))/(R1-B1),0)</f>
        <v>9</v>
      </c>
    </row>
    <row r="56">
      <c r="U56" s="32">
        <f>sum(U49:U54)</f>
        <v>68</v>
      </c>
    </row>
  </sheetData>
  <mergeCells count="4">
    <mergeCell ref="A2:G2"/>
    <mergeCell ref="Q2:W2"/>
    <mergeCell ref="P11:P28"/>
    <mergeCell ref="Q47:U47"/>
  </mergeCells>
  <conditionalFormatting sqref="F4:F10 V4:V1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4:E10 U4:U1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:D10 J4:J9 S4:T10 S33:S38 S49:S54">
    <cfRule type="cellIs" dxfId="0" priority="3" operator="lessThanOrEqual">
      <formula>4</formula>
    </cfRule>
  </conditionalFormatting>
  <conditionalFormatting sqref="C25:D25 S25:T25">
    <cfRule type="cellIs" dxfId="1" priority="4" operator="greaterThanOrEqual">
      <formula>9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